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iti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5" i="1" l="1"/>
  <c r="CA5" i="1" s="1"/>
  <c r="CB5" i="1" s="1"/>
  <c r="CC5" i="1" s="1"/>
  <c r="CD5" i="1" s="1"/>
  <c r="CE5" i="1" s="1"/>
  <c r="D29" i="1"/>
  <c r="D8" i="1" l="1"/>
  <c r="D9" i="1"/>
  <c r="D11" i="1"/>
  <c r="D12" i="1"/>
  <c r="D13" i="1"/>
  <c r="D15" i="1"/>
  <c r="D16" i="1"/>
  <c r="D17" i="1"/>
  <c r="D19" i="1"/>
  <c r="D20" i="1"/>
  <c r="D21" i="1"/>
  <c r="D23" i="1"/>
  <c r="D24" i="1"/>
  <c r="D25" i="1"/>
  <c r="D27" i="1"/>
  <c r="D28" i="1"/>
  <c r="D7" i="1"/>
  <c r="X5" i="1"/>
  <c r="Y5" i="1"/>
  <c r="Z5" i="1"/>
  <c r="AA5" i="1"/>
  <c r="AB5" i="1"/>
  <c r="AC5" i="1"/>
  <c r="AD5" i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I5" i="1"/>
  <c r="J5" i="1"/>
  <c r="K5" i="1"/>
  <c r="L5" i="1"/>
  <c r="M5" i="1"/>
  <c r="N5" i="1"/>
  <c r="O5" i="1"/>
  <c r="P5" i="1"/>
  <c r="Q5" i="1"/>
  <c r="R5" i="1" s="1"/>
  <c r="S5" i="1" s="1"/>
  <c r="T5" i="1" s="1"/>
  <c r="U5" i="1" s="1"/>
  <c r="V5" i="1" s="1"/>
  <c r="W5" i="1" s="1"/>
  <c r="H5" i="1"/>
  <c r="G5" i="1"/>
  <c r="F5" i="1"/>
</calcChain>
</file>

<file path=xl/sharedStrings.xml><?xml version="1.0" encoding="utf-8"?>
<sst xmlns="http://schemas.openxmlformats.org/spreadsheetml/2006/main" count="30" uniqueCount="30">
  <si>
    <t xml:space="preserve">Task </t>
  </si>
  <si>
    <t>Start Date</t>
  </si>
  <si>
    <t>End Date</t>
  </si>
  <si>
    <t>Duration</t>
  </si>
  <si>
    <t>Requirement &amp; Planning</t>
  </si>
  <si>
    <t>Gather feature requirements</t>
  </si>
  <si>
    <t>Create user flow diagrams</t>
  </si>
  <si>
    <t>Design wireframes for key screens</t>
  </si>
  <si>
    <t>Backend Development</t>
  </si>
  <si>
    <t>Develop RESTful APIs for event CRUD</t>
  </si>
  <si>
    <t>Implement session-based authentication</t>
  </si>
  <si>
    <t>Integrate Node mailer with cron jobs</t>
  </si>
  <si>
    <t>DB &amp; API Design</t>
  </si>
  <si>
    <t>Design database schema</t>
  </si>
  <si>
    <t>Establish entity relationships</t>
  </si>
  <si>
    <t>Define API endpoints</t>
  </si>
  <si>
    <t>Frontend Development</t>
  </si>
  <si>
    <t>Build UI components with React.js</t>
  </si>
  <si>
    <t>Add filtering, search features</t>
  </si>
  <si>
    <t>Create admin dashboard</t>
  </si>
  <si>
    <t>Integration &amp; Testing</t>
  </si>
  <si>
    <t>Connect frontend with backend APIs</t>
  </si>
  <si>
    <t>Test complete workflows</t>
  </si>
  <si>
    <t>Fix bugs and improve UX</t>
  </si>
  <si>
    <t>Final Deployment</t>
  </si>
  <si>
    <t>Deploy frontend on Vercel</t>
  </si>
  <si>
    <t>Deploy backend on Render</t>
  </si>
  <si>
    <t>Final demo &amp; presentation</t>
  </si>
  <si>
    <t>EVENT MANAGER</t>
  </si>
  <si>
    <t xml:space="preserve">Project Start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</si>
</sst>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7030A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8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3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7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1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2" fillId="47" borderId="0" applyNumberFormat="0" applyBorder="0" applyAlignment="0" applyProtection="0"/>
    <xf numFmtId="0" fontId="23" fillId="48" borderId="10" applyNumberFormat="0" applyAlignment="0" applyProtection="0"/>
    <xf numFmtId="0" fontId="24" fillId="49" borderId="11" applyNumberFormat="0" applyAlignment="0" applyProtection="0"/>
    <xf numFmtId="0" fontId="25" fillId="0" borderId="0" applyNumberFormat="0" applyFill="0" applyBorder="0" applyAlignment="0" applyProtection="0"/>
    <xf numFmtId="0" fontId="26" fillId="50" borderId="0" applyNumberFormat="0" applyBorder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30" fillId="42" borderId="10" applyNumberFormat="0" applyAlignment="0" applyProtection="0"/>
    <xf numFmtId="0" fontId="31" fillId="0" borderId="15" applyNumberFormat="0" applyFill="0" applyAlignment="0" applyProtection="0"/>
    <xf numFmtId="0" fontId="32" fillId="36" borderId="0" applyNumberFormat="0" applyBorder="0" applyAlignment="0" applyProtection="0"/>
    <xf numFmtId="0" fontId="19" fillId="36" borderId="16" applyNumberFormat="0" applyFont="0" applyAlignment="0" applyProtection="0"/>
    <xf numFmtId="0" fontId="33" fillId="48" borderId="17" applyNumberFormat="0" applyAlignment="0" applyProtection="0"/>
    <xf numFmtId="9" fontId="19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8" applyNumberFormat="0" applyFill="0" applyAlignment="0" applyProtection="0"/>
    <xf numFmtId="0" fontId="36" fillId="0" borderId="0" applyNumberForma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4" fontId="0" fillId="0" borderId="19" xfId="0" applyNumberFormat="1" applyBorder="1"/>
    <xf numFmtId="0" fontId="0" fillId="0" borderId="19" xfId="0" applyBorder="1"/>
    <xf numFmtId="14" fontId="0" fillId="0" borderId="0" xfId="0" applyNumberFormat="1" applyAlignment="1">
      <alignment vertical="center"/>
    </xf>
    <xf numFmtId="0" fontId="38" fillId="0" borderId="0" xfId="0" applyFont="1"/>
    <xf numFmtId="0" fontId="37" fillId="0" borderId="0" xfId="0" applyFont="1" applyAlignment="1">
      <alignment wrapText="1"/>
    </xf>
    <xf numFmtId="0" fontId="0" fillId="0" borderId="19" xfId="0" applyBorder="1" applyAlignment="1">
      <alignment horizontal="center" vertical="center"/>
    </xf>
    <xf numFmtId="16" fontId="0" fillId="0" borderId="19" xfId="0" applyNumberFormat="1" applyBorder="1" applyAlignment="1">
      <alignment horizontal="center" vertical="center"/>
    </xf>
    <xf numFmtId="0" fontId="16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51" borderId="0" xfId="0" applyFill="1"/>
  </cellXfs>
  <cellStyles count="85">
    <cellStyle name="20% - Accent1" xfId="19" builtinId="30" customBuiltin="1"/>
    <cellStyle name="20% - Accent1 2" xfId="43"/>
    <cellStyle name="20% - Accent2" xfId="23" builtinId="34" customBuiltin="1"/>
    <cellStyle name="20% - Accent2 2" xfId="44"/>
    <cellStyle name="20% - Accent3" xfId="27" builtinId="38" customBuiltin="1"/>
    <cellStyle name="20% - Accent3 2" xfId="45"/>
    <cellStyle name="20% - Accent4" xfId="31" builtinId="42" customBuiltin="1"/>
    <cellStyle name="20% - Accent4 2" xfId="46"/>
    <cellStyle name="20% - Accent5" xfId="35" builtinId="46" customBuiltin="1"/>
    <cellStyle name="20% - Accent5 2" xfId="47"/>
    <cellStyle name="20% - Accent6" xfId="39" builtinId="50" customBuiltin="1"/>
    <cellStyle name="20% - Accent6 2" xfId="48"/>
    <cellStyle name="40% - Accent1" xfId="20" builtinId="31" customBuiltin="1"/>
    <cellStyle name="40% - Accent1 2" xfId="49"/>
    <cellStyle name="40% - Accent2" xfId="24" builtinId="35" customBuiltin="1"/>
    <cellStyle name="40% - Accent2 2" xfId="50"/>
    <cellStyle name="40% - Accent3" xfId="28" builtinId="39" customBuiltin="1"/>
    <cellStyle name="40% - Accent3 2" xfId="51"/>
    <cellStyle name="40% - Accent4" xfId="32" builtinId="43" customBuiltin="1"/>
    <cellStyle name="40% - Accent4 2" xfId="52"/>
    <cellStyle name="40% - Accent5" xfId="36" builtinId="47" customBuiltin="1"/>
    <cellStyle name="40% - Accent5 2" xfId="53"/>
    <cellStyle name="40% - Accent6" xfId="40" builtinId="51" customBuiltin="1"/>
    <cellStyle name="40% - Accent6 2" xfId="54"/>
    <cellStyle name="60% - Accent1" xfId="21" builtinId="32" customBuiltin="1"/>
    <cellStyle name="60% - Accent1 2" xfId="55"/>
    <cellStyle name="60% - Accent2" xfId="25" builtinId="36" customBuiltin="1"/>
    <cellStyle name="60% - Accent2 2" xfId="56"/>
    <cellStyle name="60% - Accent3" xfId="29" builtinId="40" customBuiltin="1"/>
    <cellStyle name="60% - Accent3 2" xfId="57"/>
    <cellStyle name="60% - Accent4" xfId="33" builtinId="44" customBuiltin="1"/>
    <cellStyle name="60% - Accent4 2" xfId="58"/>
    <cellStyle name="60% - Accent5" xfId="37" builtinId="48" customBuiltin="1"/>
    <cellStyle name="60% - Accent5 2" xfId="59"/>
    <cellStyle name="60% - Accent6" xfId="41" builtinId="52" customBuiltin="1"/>
    <cellStyle name="60% - Accent6 2" xfId="60"/>
    <cellStyle name="Accent1" xfId="18" builtinId="29" customBuiltin="1"/>
    <cellStyle name="Accent1 2" xfId="61"/>
    <cellStyle name="Accent2" xfId="22" builtinId="33" customBuiltin="1"/>
    <cellStyle name="Accent2 2" xfId="62"/>
    <cellStyle name="Accent3" xfId="26" builtinId="37" customBuiltin="1"/>
    <cellStyle name="Accent3 2" xfId="63"/>
    <cellStyle name="Accent4" xfId="30" builtinId="41" customBuiltin="1"/>
    <cellStyle name="Accent4 2" xfId="64"/>
    <cellStyle name="Accent5" xfId="34" builtinId="45" customBuiltin="1"/>
    <cellStyle name="Accent5 2" xfId="65"/>
    <cellStyle name="Accent6" xfId="38" builtinId="49" customBuiltin="1"/>
    <cellStyle name="Accent6 2" xfId="66"/>
    <cellStyle name="Bad" xfId="7" builtinId="27" customBuiltin="1"/>
    <cellStyle name="Bad 2" xfId="67"/>
    <cellStyle name="Calculation" xfId="11" builtinId="22" customBuiltin="1"/>
    <cellStyle name="Calculation 2" xfId="68"/>
    <cellStyle name="Check Cell" xfId="13" builtinId="23" customBuiltin="1"/>
    <cellStyle name="Check Cell 2" xfId="69"/>
    <cellStyle name="Explanatory Text" xfId="16" builtinId="53" customBuiltin="1"/>
    <cellStyle name="Explanatory Text 2" xfId="70"/>
    <cellStyle name="Good" xfId="6" builtinId="26" customBuiltin="1"/>
    <cellStyle name="Good 2" xfId="71"/>
    <cellStyle name="Heading 1" xfId="2" builtinId="16" customBuiltin="1"/>
    <cellStyle name="Heading 1 2" xfId="72"/>
    <cellStyle name="Heading 2" xfId="3" builtinId="17" customBuiltin="1"/>
    <cellStyle name="Heading 2 2" xfId="73"/>
    <cellStyle name="Heading 3" xfId="4" builtinId="18" customBuiltin="1"/>
    <cellStyle name="Heading 3 2" xfId="74"/>
    <cellStyle name="Heading 4" xfId="5" builtinId="19" customBuiltin="1"/>
    <cellStyle name="Heading 4 2" xfId="75"/>
    <cellStyle name="Input" xfId="9" builtinId="20" customBuiltin="1"/>
    <cellStyle name="Input 2" xfId="76"/>
    <cellStyle name="Linked Cell" xfId="12" builtinId="24" customBuiltin="1"/>
    <cellStyle name="Linked Cell 2" xfId="77"/>
    <cellStyle name="Neutral" xfId="8" builtinId="28" customBuiltin="1"/>
    <cellStyle name="Neutral 2" xfId="78"/>
    <cellStyle name="Normal" xfId="0" builtinId="0"/>
    <cellStyle name="Normal 2" xfId="42"/>
    <cellStyle name="Note" xfId="15" builtinId="10" customBuiltin="1"/>
    <cellStyle name="Note 2" xfId="79"/>
    <cellStyle name="Output" xfId="10" builtinId="21" customBuiltin="1"/>
    <cellStyle name="Output 2" xfId="80"/>
    <cellStyle name="Percent 2" xfId="81"/>
    <cellStyle name="Title" xfId="1" builtinId="15" customBuiltin="1"/>
    <cellStyle name="Title 2" xfId="82"/>
    <cellStyle name="Total" xfId="17" builtinId="25" customBuiltin="1"/>
    <cellStyle name="Total 2" xfId="83"/>
    <cellStyle name="Warning Text" xfId="14" builtinId="11" customBuiltin="1"/>
    <cellStyle name="Warning Text 2" xfId="84"/>
  </cellStyles>
  <dxfs count="1"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3"/>
  <sheetViews>
    <sheetView showGridLines="0" tabSelected="1" zoomScale="84" zoomScaleNormal="205" workbookViewId="0">
      <selection activeCell="J19" sqref="J19"/>
    </sheetView>
  </sheetViews>
  <sheetFormatPr defaultRowHeight="14.4" x14ac:dyDescent="0.3"/>
  <cols>
    <col min="1" max="1" width="33.88671875" customWidth="1"/>
    <col min="2" max="2" width="10.33203125" bestFit="1" customWidth="1"/>
    <col min="3" max="3" width="8.44140625" customWidth="1"/>
    <col min="4" max="4" width="7" customWidth="1"/>
    <col min="5" max="5" width="4.88671875" customWidth="1"/>
    <col min="6" max="6" width="4.5546875" style="1" customWidth="1"/>
    <col min="7" max="81" width="4.5546875" customWidth="1"/>
    <col min="82" max="82" width="6.33203125" customWidth="1"/>
    <col min="83" max="83" width="5.21875" customWidth="1"/>
  </cols>
  <sheetData>
    <row r="1" spans="1:83" ht="43.2" customHeight="1" x14ac:dyDescent="0.55000000000000004">
      <c r="A1" s="7" t="s">
        <v>28</v>
      </c>
      <c r="B1" s="6" t="s">
        <v>29</v>
      </c>
    </row>
    <row r="2" spans="1:83" x14ac:dyDescent="0.3">
      <c r="A2" s="2"/>
      <c r="B2" s="5">
        <v>45803</v>
      </c>
    </row>
    <row r="4" spans="1:83" x14ac:dyDescent="0.3">
      <c r="A4" s="8" t="s">
        <v>0</v>
      </c>
      <c r="B4" s="8" t="s">
        <v>1</v>
      </c>
      <c r="C4" s="8" t="s">
        <v>2</v>
      </c>
      <c r="D4" s="8" t="s">
        <v>3</v>
      </c>
      <c r="E4" s="8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3" x14ac:dyDescent="0.3">
      <c r="A5" s="8"/>
      <c r="B5" s="8"/>
      <c r="C5" s="8"/>
      <c r="D5" s="8"/>
      <c r="E5" s="8"/>
      <c r="F5" s="3">
        <f>B7</f>
        <v>45803</v>
      </c>
      <c r="G5" s="3">
        <f>F5+1</f>
        <v>45804</v>
      </c>
      <c r="H5" s="3">
        <f>G5+1</f>
        <v>45805</v>
      </c>
      <c r="I5" s="3">
        <f t="shared" ref="I5:BT5" si="0">H5+1</f>
        <v>45806</v>
      </c>
      <c r="J5" s="3">
        <f t="shared" si="0"/>
        <v>45807</v>
      </c>
      <c r="K5" s="3">
        <f t="shared" si="0"/>
        <v>45808</v>
      </c>
      <c r="L5" s="3">
        <f t="shared" si="0"/>
        <v>45809</v>
      </c>
      <c r="M5" s="3">
        <f t="shared" si="0"/>
        <v>45810</v>
      </c>
      <c r="N5" s="3">
        <f t="shared" si="0"/>
        <v>45811</v>
      </c>
      <c r="O5" s="3">
        <f t="shared" si="0"/>
        <v>45812</v>
      </c>
      <c r="P5" s="3">
        <f t="shared" si="0"/>
        <v>45813</v>
      </c>
      <c r="Q5" s="3">
        <f t="shared" si="0"/>
        <v>45814</v>
      </c>
      <c r="R5" s="3">
        <f t="shared" si="0"/>
        <v>45815</v>
      </c>
      <c r="S5" s="3">
        <f t="shared" si="0"/>
        <v>45816</v>
      </c>
      <c r="T5" s="3">
        <f t="shared" si="0"/>
        <v>45817</v>
      </c>
      <c r="U5" s="3">
        <f t="shared" si="0"/>
        <v>45818</v>
      </c>
      <c r="V5" s="3">
        <f t="shared" si="0"/>
        <v>45819</v>
      </c>
      <c r="W5" s="3">
        <f t="shared" si="0"/>
        <v>45820</v>
      </c>
      <c r="X5" s="3">
        <f t="shared" si="0"/>
        <v>45821</v>
      </c>
      <c r="Y5" s="3">
        <f t="shared" si="0"/>
        <v>45822</v>
      </c>
      <c r="Z5" s="3">
        <f t="shared" si="0"/>
        <v>45823</v>
      </c>
      <c r="AA5" s="3">
        <f t="shared" si="0"/>
        <v>45824</v>
      </c>
      <c r="AB5" s="3">
        <f t="shared" si="0"/>
        <v>45825</v>
      </c>
      <c r="AC5" s="3">
        <f t="shared" si="0"/>
        <v>45826</v>
      </c>
      <c r="AD5" s="3">
        <f t="shared" si="0"/>
        <v>45827</v>
      </c>
      <c r="AE5" s="3">
        <f t="shared" si="0"/>
        <v>45828</v>
      </c>
      <c r="AF5" s="3">
        <f t="shared" si="0"/>
        <v>45829</v>
      </c>
      <c r="AG5" s="3">
        <f t="shared" si="0"/>
        <v>45830</v>
      </c>
      <c r="AH5" s="3">
        <f t="shared" si="0"/>
        <v>45831</v>
      </c>
      <c r="AI5" s="3">
        <f t="shared" si="0"/>
        <v>45832</v>
      </c>
      <c r="AJ5" s="3">
        <f t="shared" si="0"/>
        <v>45833</v>
      </c>
      <c r="AK5" s="3">
        <f t="shared" si="0"/>
        <v>45834</v>
      </c>
      <c r="AL5" s="3">
        <f t="shared" si="0"/>
        <v>45835</v>
      </c>
      <c r="AM5" s="3">
        <f t="shared" si="0"/>
        <v>45836</v>
      </c>
      <c r="AN5" s="3">
        <f t="shared" si="0"/>
        <v>45837</v>
      </c>
      <c r="AO5" s="3">
        <f t="shared" si="0"/>
        <v>45838</v>
      </c>
      <c r="AP5" s="3">
        <f t="shared" si="0"/>
        <v>45839</v>
      </c>
      <c r="AQ5" s="3">
        <f t="shared" si="0"/>
        <v>45840</v>
      </c>
      <c r="AR5" s="3">
        <f t="shared" si="0"/>
        <v>45841</v>
      </c>
      <c r="AS5" s="3">
        <f t="shared" si="0"/>
        <v>45842</v>
      </c>
      <c r="AT5" s="3">
        <f t="shared" si="0"/>
        <v>45843</v>
      </c>
      <c r="AU5" s="3">
        <f t="shared" si="0"/>
        <v>45844</v>
      </c>
      <c r="AV5" s="3">
        <f t="shared" si="0"/>
        <v>45845</v>
      </c>
      <c r="AW5" s="3">
        <f t="shared" si="0"/>
        <v>45846</v>
      </c>
      <c r="AX5" s="3">
        <f t="shared" si="0"/>
        <v>45847</v>
      </c>
      <c r="AY5" s="3">
        <f t="shared" si="0"/>
        <v>45848</v>
      </c>
      <c r="AZ5" s="3">
        <f t="shared" si="0"/>
        <v>45849</v>
      </c>
      <c r="BA5" s="3">
        <f t="shared" si="0"/>
        <v>45850</v>
      </c>
      <c r="BB5" s="3">
        <f t="shared" si="0"/>
        <v>45851</v>
      </c>
      <c r="BC5" s="3">
        <f t="shared" si="0"/>
        <v>45852</v>
      </c>
      <c r="BD5" s="3">
        <f t="shared" si="0"/>
        <v>45853</v>
      </c>
      <c r="BE5" s="3">
        <f t="shared" si="0"/>
        <v>45854</v>
      </c>
      <c r="BF5" s="3">
        <f t="shared" si="0"/>
        <v>45855</v>
      </c>
      <c r="BG5" s="3">
        <f t="shared" si="0"/>
        <v>45856</v>
      </c>
      <c r="BH5" s="3">
        <f t="shared" si="0"/>
        <v>45857</v>
      </c>
      <c r="BI5" s="3">
        <f t="shared" si="0"/>
        <v>45858</v>
      </c>
      <c r="BJ5" s="3">
        <f t="shared" si="0"/>
        <v>45859</v>
      </c>
      <c r="BK5" s="3">
        <f t="shared" si="0"/>
        <v>45860</v>
      </c>
      <c r="BL5" s="3">
        <f t="shared" si="0"/>
        <v>45861</v>
      </c>
      <c r="BM5" s="3">
        <f t="shared" si="0"/>
        <v>45862</v>
      </c>
      <c r="BN5" s="3">
        <f t="shared" si="0"/>
        <v>45863</v>
      </c>
      <c r="BO5" s="3">
        <f t="shared" si="0"/>
        <v>45864</v>
      </c>
      <c r="BP5" s="3">
        <f t="shared" si="0"/>
        <v>45865</v>
      </c>
      <c r="BQ5" s="3">
        <f t="shared" si="0"/>
        <v>45866</v>
      </c>
      <c r="BR5" s="3">
        <f t="shared" si="0"/>
        <v>45867</v>
      </c>
      <c r="BS5" s="3">
        <f t="shared" si="0"/>
        <v>45868</v>
      </c>
      <c r="BT5" s="3">
        <f t="shared" si="0"/>
        <v>45869</v>
      </c>
      <c r="BU5" s="3">
        <f t="shared" ref="BU5:CC5" si="1">BT5+1</f>
        <v>45870</v>
      </c>
      <c r="BV5" s="3">
        <f t="shared" si="1"/>
        <v>45871</v>
      </c>
      <c r="BW5" s="3">
        <f t="shared" si="1"/>
        <v>45872</v>
      </c>
      <c r="BX5" s="3">
        <f t="shared" si="1"/>
        <v>45873</v>
      </c>
      <c r="BY5" s="3">
        <f t="shared" si="1"/>
        <v>45874</v>
      </c>
      <c r="BZ5" s="3">
        <f t="shared" ref="BZ5" si="2">BY5+1</f>
        <v>45875</v>
      </c>
      <c r="CA5" s="3">
        <f t="shared" ref="CA5" si="3">BZ5+1</f>
        <v>45876</v>
      </c>
      <c r="CB5" s="3">
        <f t="shared" ref="CB5" si="4">CA5+1</f>
        <v>45877</v>
      </c>
      <c r="CC5" s="3">
        <f t="shared" ref="CC5" si="5">CB5+1</f>
        <v>45878</v>
      </c>
      <c r="CD5" s="3">
        <f t="shared" ref="CD5" si="6">CC5+1</f>
        <v>45879</v>
      </c>
      <c r="CE5" s="3">
        <f t="shared" ref="CE5" si="7">CD5+1</f>
        <v>45880</v>
      </c>
    </row>
    <row r="6" spans="1:83" x14ac:dyDescent="0.3">
      <c r="A6" s="10" t="s">
        <v>4</v>
      </c>
      <c r="B6" s="8"/>
      <c r="C6" s="8"/>
      <c r="D6" s="8"/>
      <c r="E6" s="8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3" x14ac:dyDescent="0.3">
      <c r="A7" s="11" t="s">
        <v>5</v>
      </c>
      <c r="B7" s="9">
        <v>45803</v>
      </c>
      <c r="C7" s="9">
        <v>45807</v>
      </c>
      <c r="D7" s="8">
        <f>C7-B7</f>
        <v>4</v>
      </c>
      <c r="E7" s="8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3" x14ac:dyDescent="0.3">
      <c r="A8" s="11" t="s">
        <v>6</v>
      </c>
      <c r="B8" s="9">
        <v>45803</v>
      </c>
      <c r="C8" s="9">
        <v>45805</v>
      </c>
      <c r="D8" s="8">
        <f t="shared" ref="D8:D29" si="8">C8-B8</f>
        <v>2</v>
      </c>
      <c r="E8" s="8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3" x14ac:dyDescent="0.3">
      <c r="A9" s="11" t="s">
        <v>7</v>
      </c>
      <c r="B9" s="9">
        <v>45803</v>
      </c>
      <c r="C9" s="9">
        <v>45807</v>
      </c>
      <c r="D9" s="8">
        <f t="shared" si="8"/>
        <v>4</v>
      </c>
      <c r="E9" s="8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</row>
    <row r="10" spans="1:83" x14ac:dyDescent="0.3">
      <c r="A10" s="10" t="s">
        <v>16</v>
      </c>
      <c r="B10" s="9"/>
      <c r="C10" s="9"/>
      <c r="D10" s="8"/>
      <c r="E10" s="8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3" x14ac:dyDescent="0.3">
      <c r="A11" s="11" t="s">
        <v>17</v>
      </c>
      <c r="B11" s="9">
        <v>45808</v>
      </c>
      <c r="C11" s="9">
        <v>45810</v>
      </c>
      <c r="D11" s="8">
        <f t="shared" si="8"/>
        <v>2</v>
      </c>
      <c r="E11" s="8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3" x14ac:dyDescent="0.3">
      <c r="A12" s="11" t="s">
        <v>18</v>
      </c>
      <c r="B12" s="9">
        <v>45810</v>
      </c>
      <c r="C12" s="9">
        <v>45814</v>
      </c>
      <c r="D12" s="8">
        <f t="shared" si="8"/>
        <v>4</v>
      </c>
      <c r="E12" s="8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3" x14ac:dyDescent="0.3">
      <c r="A13" s="11" t="s">
        <v>19</v>
      </c>
      <c r="B13" s="9">
        <v>45810</v>
      </c>
      <c r="C13" s="9">
        <v>45815</v>
      </c>
      <c r="D13" s="8">
        <f t="shared" si="8"/>
        <v>5</v>
      </c>
      <c r="E13" s="8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</row>
    <row r="14" spans="1:83" x14ac:dyDescent="0.3">
      <c r="A14" s="10" t="s">
        <v>12</v>
      </c>
      <c r="B14" s="9"/>
      <c r="C14" s="9"/>
      <c r="D14" s="8"/>
      <c r="E14" s="8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3" x14ac:dyDescent="0.3">
      <c r="A15" s="11" t="s">
        <v>13</v>
      </c>
      <c r="B15" s="9">
        <v>45816</v>
      </c>
      <c r="C15" s="9">
        <v>45820</v>
      </c>
      <c r="D15" s="8">
        <f t="shared" si="8"/>
        <v>4</v>
      </c>
      <c r="E15" s="8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3" x14ac:dyDescent="0.3">
      <c r="A16" s="11" t="s">
        <v>14</v>
      </c>
      <c r="B16" s="9">
        <v>45821</v>
      </c>
      <c r="C16" s="9">
        <v>45822</v>
      </c>
      <c r="D16" s="8">
        <f t="shared" si="8"/>
        <v>1</v>
      </c>
      <c r="E16" s="8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3" x14ac:dyDescent="0.3">
      <c r="A17" s="11" t="s">
        <v>15</v>
      </c>
      <c r="B17" s="9">
        <v>45823</v>
      </c>
      <c r="C17" s="9">
        <v>45828</v>
      </c>
      <c r="D17" s="8">
        <f t="shared" si="8"/>
        <v>5</v>
      </c>
      <c r="E17" s="8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3" x14ac:dyDescent="0.3">
      <c r="A18" s="10" t="s">
        <v>8</v>
      </c>
      <c r="B18" s="9"/>
      <c r="C18" s="9"/>
      <c r="D18" s="8"/>
      <c r="E18" s="8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</row>
    <row r="19" spans="1:83" x14ac:dyDescent="0.3">
      <c r="A19" s="11" t="s">
        <v>11</v>
      </c>
      <c r="B19" s="9">
        <v>45829</v>
      </c>
      <c r="C19" s="9">
        <v>45834</v>
      </c>
      <c r="D19" s="8">
        <f t="shared" si="8"/>
        <v>5</v>
      </c>
      <c r="E19" s="8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3" x14ac:dyDescent="0.3">
      <c r="A20" s="11" t="s">
        <v>9</v>
      </c>
      <c r="B20" s="9">
        <v>45829</v>
      </c>
      <c r="C20" s="9">
        <v>45834</v>
      </c>
      <c r="D20" s="8">
        <f t="shared" si="8"/>
        <v>5</v>
      </c>
      <c r="E20" s="8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3" x14ac:dyDescent="0.3">
      <c r="A21" s="11" t="s">
        <v>10</v>
      </c>
      <c r="B21" s="9">
        <v>45835</v>
      </c>
      <c r="C21" s="9">
        <v>45839</v>
      </c>
      <c r="D21" s="8">
        <f t="shared" si="8"/>
        <v>4</v>
      </c>
      <c r="E21" s="8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3" x14ac:dyDescent="0.3">
      <c r="A22" s="10" t="s">
        <v>20</v>
      </c>
      <c r="B22" s="9"/>
      <c r="C22" s="9"/>
      <c r="D22" s="8"/>
      <c r="E22" s="8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3" x14ac:dyDescent="0.3">
      <c r="A23" s="11" t="s">
        <v>21</v>
      </c>
      <c r="B23" s="9">
        <v>45840</v>
      </c>
      <c r="C23" s="9">
        <v>45846</v>
      </c>
      <c r="D23" s="8">
        <f t="shared" si="8"/>
        <v>6</v>
      </c>
      <c r="E23" s="8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3" x14ac:dyDescent="0.3">
      <c r="A24" s="11" t="s">
        <v>22</v>
      </c>
      <c r="B24" s="9">
        <v>45840</v>
      </c>
      <c r="C24" s="9">
        <v>45854</v>
      </c>
      <c r="D24" s="8">
        <f t="shared" si="8"/>
        <v>14</v>
      </c>
      <c r="E24" s="8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3" x14ac:dyDescent="0.3">
      <c r="A25" s="11" t="s">
        <v>23</v>
      </c>
      <c r="B25" s="9">
        <v>45853</v>
      </c>
      <c r="C25" s="9">
        <v>45863</v>
      </c>
      <c r="D25" s="8">
        <f t="shared" si="8"/>
        <v>10</v>
      </c>
      <c r="E25" s="8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3" x14ac:dyDescent="0.3">
      <c r="A26" s="10" t="s">
        <v>24</v>
      </c>
      <c r="B26" s="9"/>
      <c r="C26" s="9"/>
      <c r="D26" s="8"/>
      <c r="E26" s="8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3" x14ac:dyDescent="0.3">
      <c r="A27" s="11" t="s">
        <v>25</v>
      </c>
      <c r="B27" s="9">
        <v>45865</v>
      </c>
      <c r="C27" s="9">
        <v>45870</v>
      </c>
      <c r="D27" s="8">
        <f t="shared" si="8"/>
        <v>5</v>
      </c>
      <c r="E27" s="8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</row>
    <row r="28" spans="1:83" x14ac:dyDescent="0.3">
      <c r="A28" s="11" t="s">
        <v>26</v>
      </c>
      <c r="B28" s="9">
        <v>45865</v>
      </c>
      <c r="C28" s="9">
        <v>45876</v>
      </c>
      <c r="D28" s="8">
        <f t="shared" si="8"/>
        <v>11</v>
      </c>
      <c r="E28" s="8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3" x14ac:dyDescent="0.3">
      <c r="A29" s="11" t="s">
        <v>27</v>
      </c>
      <c r="B29" s="9">
        <v>45880</v>
      </c>
      <c r="C29" s="9">
        <v>45880</v>
      </c>
      <c r="D29" s="8">
        <f t="shared" si="8"/>
        <v>0</v>
      </c>
      <c r="E29" s="8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E29" s="12"/>
    </row>
    <row r="30" spans="1:83" x14ac:dyDescent="0.3">
      <c r="A30" s="11"/>
      <c r="B30" s="8"/>
      <c r="C30" s="8"/>
      <c r="D30" s="8"/>
      <c r="E30" s="8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3" x14ac:dyDescent="0.3">
      <c r="A31" s="4"/>
      <c r="B31" s="4"/>
      <c r="C31" s="4"/>
      <c r="D31" s="4"/>
      <c r="E31" s="4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3" x14ac:dyDescent="0.3">
      <c r="A32" s="4"/>
      <c r="B32" s="4"/>
      <c r="C32" s="4"/>
      <c r="D32" s="4"/>
      <c r="E32" s="4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81" x14ac:dyDescent="0.3">
      <c r="A33" s="4"/>
      <c r="B33" s="4"/>
      <c r="C33" s="4"/>
      <c r="D33" s="4"/>
      <c r="E33" s="4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</row>
  </sheetData>
  <conditionalFormatting sqref="F6:CC29 F5:CE5">
    <cfRule type="expression" dxfId="0" priority="1">
      <formula>AND(F$5&gt;=$B5,F$5&lt;=$C5)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</dc:creator>
  <cp:lastModifiedBy>Aditi</cp:lastModifiedBy>
  <dcterms:created xsi:type="dcterms:W3CDTF">2025-08-08T08:08:37Z</dcterms:created>
  <dcterms:modified xsi:type="dcterms:W3CDTF">2025-08-11T06:38:31Z</dcterms:modified>
</cp:coreProperties>
</file>